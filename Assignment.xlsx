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80" yWindow="60" windowWidth="16275" windowHeight="10035" activeTab="2"/>
  </bookViews>
  <sheets>
    <sheet name="Sheet1" sheetId="1" r:id="rId1"/>
    <sheet name="Sheet2" sheetId="2" r:id="rId2"/>
    <sheet name="Sheet4" sheetId="4" r:id="rId3"/>
    <sheet name="Sheet3" sheetId="3" state="hidden" r:id="rId4"/>
  </sheets>
  <calcPr calcId="144525"/>
  <pivotCaches>
    <pivotCache cacheId="8" r:id="rId5"/>
  </pivotCaches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6" i="4"/>
  <c r="B10" i="2"/>
  <c r="B11" i="2"/>
  <c r="B9" i="2"/>
  <c r="J6" i="1"/>
  <c r="J7" i="1"/>
  <c r="J8" i="1"/>
  <c r="J9" i="1"/>
  <c r="J10" i="1"/>
  <c r="J11" i="1"/>
  <c r="J12" i="1"/>
  <c r="J13" i="1"/>
  <c r="J14" i="1"/>
  <c r="J15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  <c r="F7" i="1"/>
  <c r="F8" i="1"/>
  <c r="F9" i="1"/>
  <c r="F10" i="1"/>
  <c r="F11" i="1"/>
  <c r="F12" i="1"/>
  <c r="F13" i="1"/>
  <c r="F14" i="1"/>
  <c r="F15" i="1"/>
  <c r="F6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<sst xmlns="http://schemas.openxmlformats.org/spreadsheetml/2006/main" count="97" uniqueCount="70">
  <si>
    <t>Student Name</t>
  </si>
  <si>
    <t>Roll No</t>
  </si>
  <si>
    <t>Subject 1</t>
  </si>
  <si>
    <t>Grade</t>
  </si>
  <si>
    <t>Subject 2</t>
  </si>
  <si>
    <t>Subject 3</t>
  </si>
  <si>
    <t xml:space="preserve">Total </t>
  </si>
  <si>
    <t>Average</t>
  </si>
  <si>
    <t>Task 1</t>
  </si>
  <si>
    <t>Bilal Ahmed</t>
  </si>
  <si>
    <t>Khuzema Afridi</t>
  </si>
  <si>
    <t>Burhan Jalali</t>
  </si>
  <si>
    <t>Shahid Anwar</t>
  </si>
  <si>
    <t>Shayan Siddiqui</t>
  </si>
  <si>
    <t>Ryan Asif</t>
  </si>
  <si>
    <t>Ahmed Dayan</t>
  </si>
  <si>
    <t>Fawad Ahmed</t>
  </si>
  <si>
    <t>Talha Qadri</t>
  </si>
  <si>
    <t>Muaz Khan</t>
  </si>
  <si>
    <t>Faizan Hashmi</t>
  </si>
  <si>
    <t xml:space="preserve">Name </t>
  </si>
  <si>
    <t>Cleaned Names</t>
  </si>
  <si>
    <t>Phone Number</t>
  </si>
  <si>
    <t>DOB</t>
  </si>
  <si>
    <t>Fixed DOB</t>
  </si>
  <si>
    <t>ahMEd    KHaN</t>
  </si>
  <si>
    <t>Task 2</t>
  </si>
  <si>
    <t>ShAhiD   AnWar</t>
  </si>
  <si>
    <t>KhUzEmA   afRiDI</t>
  </si>
  <si>
    <t>24-09/2004</t>
  </si>
  <si>
    <t>29/11/2007</t>
  </si>
  <si>
    <t>24/09/2004</t>
  </si>
  <si>
    <t>31/10/2006</t>
  </si>
  <si>
    <t>29/11-2007</t>
  </si>
  <si>
    <t>Sales Person</t>
  </si>
  <si>
    <t>Region</t>
  </si>
  <si>
    <t>Product</t>
  </si>
  <si>
    <t>Jan</t>
  </si>
  <si>
    <t>Feb</t>
  </si>
  <si>
    <t>Mar</t>
  </si>
  <si>
    <t>Grand Total</t>
  </si>
  <si>
    <t>Task 3</t>
  </si>
  <si>
    <t>Pakistan</t>
  </si>
  <si>
    <t>China</t>
  </si>
  <si>
    <t>India</t>
  </si>
  <si>
    <t>Mexico</t>
  </si>
  <si>
    <t>Brazil</t>
  </si>
  <si>
    <t>Muhammad Saffi</t>
  </si>
  <si>
    <t>Muzammil Ahmed</t>
  </si>
  <si>
    <t>Mukshaf Ahmed</t>
  </si>
  <si>
    <t>Tanveer Ali</t>
  </si>
  <si>
    <t>Mahad Raza</t>
  </si>
  <si>
    <t>Irfan Junejo</t>
  </si>
  <si>
    <t>Muhammad Waseem</t>
  </si>
  <si>
    <t>Iran</t>
  </si>
  <si>
    <t>Shampoo</t>
  </si>
  <si>
    <t>Soap</t>
  </si>
  <si>
    <t>Sun Block</t>
  </si>
  <si>
    <t>Tyres</t>
  </si>
  <si>
    <t>Cars</t>
  </si>
  <si>
    <t>Glasses</t>
  </si>
  <si>
    <t>Phones</t>
  </si>
  <si>
    <t>Watches</t>
  </si>
  <si>
    <t>Fishes</t>
  </si>
  <si>
    <t>Boats</t>
  </si>
  <si>
    <t>Automobiles</t>
  </si>
  <si>
    <t>Equipment</t>
  </si>
  <si>
    <t>Bitcoin</t>
  </si>
  <si>
    <t>Toys</t>
  </si>
  <si>
    <t>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</si>
</sst>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3" borderId="0" xfId="0" applyFont="1" applyFill="1"/>
    <xf numFmtId="0" fontId="0" fillId="3" borderId="0" xfId="0" applyFill="1" applyBorder="1"/>
    <xf numFmtId="0" fontId="2" fillId="3" borderId="0" xfId="0" applyFont="1" applyFill="1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0" xfId="0" applyNumberFormat="1"/>
    <xf numFmtId="4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oor Computer" refreshedDate="46292.09680428241" createdVersion="4" refreshedVersion="4" minRefreshableVersion="3" recordCount="18">
  <cacheSource type="worksheet">
    <worksheetSource ref="A5:G23" sheet="Sheet4"/>
  </cacheSource>
  <cacheFields count="7">
    <cacheField name="Sales Person" numFmtId="0">
      <sharedItems count="18">
        <s v="Ryan Asif"/>
        <s v="Shayan Siddiqui"/>
        <s v="Ahmed Dayan"/>
        <s v="Khuzema Afridi"/>
        <s v="Fawad Ahmed"/>
        <s v="Talha Qadri"/>
        <s v="Muaz Khan"/>
        <s v="Shahid Anwar"/>
        <s v="Bilal Ahmed"/>
        <s v="Faizan Hashmi"/>
        <s v="Muhammad Saffi"/>
        <s v="Muzammil Ahmed"/>
        <s v="Burhan Jalali"/>
        <s v="Mukshaf Ahmed"/>
        <s v="Tanveer Ali"/>
        <s v="Mahad Raza"/>
        <s v="Irfan Junejo"/>
        <s v="Muhammad Waseem"/>
      </sharedItems>
    </cacheField>
    <cacheField name="Region" numFmtId="0">
      <sharedItems count="6">
        <s v="Pakistan"/>
        <s v="China"/>
        <s v="Iran"/>
        <s v="India"/>
        <s v="Brazil"/>
        <s v="Mexico"/>
      </sharedItems>
    </cacheField>
    <cacheField name="Product" numFmtId="0">
      <sharedItems count="15">
        <s v="Shampoo"/>
        <s v="Soap"/>
        <s v="Sun Block"/>
        <s v="Tyres"/>
        <s v="Cars"/>
        <s v="Glasses"/>
        <s v="Phones"/>
        <s v="Watches"/>
        <s v="Fishes"/>
        <s v="Boats"/>
        <s v="Automobiles"/>
        <s v="Equipment"/>
        <s v="Bitcoin"/>
        <s v="Toys"/>
        <s v="Clothes"/>
      </sharedItems>
    </cacheField>
    <cacheField name="Jan" numFmtId="44">
      <sharedItems containsSemiMixedTypes="0" containsString="0" containsNumber="1" containsInteger="1" minValue="10000450" maxValue="14543000" count="10">
        <n v="10012000"/>
        <n v="10013000"/>
        <n v="10345000"/>
        <n v="10000450"/>
        <n v="10013400"/>
        <n v="10034000"/>
        <n v="10067000"/>
        <n v="10018700"/>
        <n v="10013340"/>
        <n v="14543000"/>
      </sharedItems>
    </cacheField>
    <cacheField name="Feb" numFmtId="44">
      <sharedItems containsSemiMixedTypes="0" containsString="0" containsNumber="1" containsInteger="1" minValue="10000450" maxValue="10345000" count="9">
        <n v="10067000"/>
        <n v="10013000"/>
        <n v="10012000"/>
        <n v="10345000"/>
        <n v="10000450"/>
        <n v="10034000"/>
        <n v="10018700"/>
        <n v="10013340"/>
        <n v="10013400"/>
      </sharedItems>
    </cacheField>
    <cacheField name="Mar" numFmtId="44">
      <sharedItems containsSemiMixedTypes="0" containsString="0" containsNumber="1" containsInteger="1" minValue="10000450" maxValue="10345000" count="9">
        <n v="10013000"/>
        <n v="10345000"/>
        <n v="10034000"/>
        <n v="10067000"/>
        <n v="10018700"/>
        <n v="10013340"/>
        <n v="10000450"/>
        <n v="10013400"/>
        <n v="10012000"/>
      </sharedItems>
    </cacheField>
    <cacheField name="Grand Total" numFmtId="44">
      <sharedItems containsSemiMixedTypes="0" containsString="0" containsNumber="1" containsInteger="1" minValue="30019600" maxValue="34901400" count="18">
        <n v="30092000"/>
        <n v="30371000"/>
        <n v="30391000"/>
        <n v="30080450"/>
        <n v="30377100"/>
        <n v="30047790"/>
        <n v="30757000"/>
        <n v="30019600"/>
        <n v="30039740"/>
        <n v="34901400"/>
        <n v="30081400"/>
        <n v="30168000"/>
        <n v="30098700"/>
        <n v="30038340"/>
        <n v="30369000"/>
        <n v="30026450"/>
        <n v="30703400"/>
        <n v="30034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1"/>
    <x v="3"/>
    <x v="3"/>
  </r>
  <r>
    <x v="4"/>
    <x v="4"/>
    <x v="4"/>
    <x v="4"/>
    <x v="3"/>
    <x v="4"/>
    <x v="4"/>
  </r>
  <r>
    <x v="5"/>
    <x v="5"/>
    <x v="5"/>
    <x v="5"/>
    <x v="4"/>
    <x v="5"/>
    <x v="5"/>
  </r>
  <r>
    <x v="6"/>
    <x v="0"/>
    <x v="6"/>
    <x v="6"/>
    <x v="3"/>
    <x v="1"/>
    <x v="6"/>
  </r>
  <r>
    <x v="7"/>
    <x v="1"/>
    <x v="7"/>
    <x v="7"/>
    <x v="4"/>
    <x v="6"/>
    <x v="7"/>
  </r>
  <r>
    <x v="8"/>
    <x v="2"/>
    <x v="8"/>
    <x v="8"/>
    <x v="1"/>
    <x v="7"/>
    <x v="8"/>
  </r>
  <r>
    <x v="9"/>
    <x v="3"/>
    <x v="9"/>
    <x v="9"/>
    <x v="3"/>
    <x v="7"/>
    <x v="9"/>
  </r>
  <r>
    <x v="10"/>
    <x v="4"/>
    <x v="10"/>
    <x v="4"/>
    <x v="5"/>
    <x v="2"/>
    <x v="10"/>
  </r>
  <r>
    <x v="11"/>
    <x v="5"/>
    <x v="11"/>
    <x v="5"/>
    <x v="0"/>
    <x v="3"/>
    <x v="11"/>
  </r>
  <r>
    <x v="12"/>
    <x v="0"/>
    <x v="12"/>
    <x v="6"/>
    <x v="6"/>
    <x v="0"/>
    <x v="12"/>
  </r>
  <r>
    <x v="13"/>
    <x v="1"/>
    <x v="13"/>
    <x v="1"/>
    <x v="7"/>
    <x v="8"/>
    <x v="13"/>
  </r>
  <r>
    <x v="14"/>
    <x v="2"/>
    <x v="14"/>
    <x v="0"/>
    <x v="3"/>
    <x v="8"/>
    <x v="14"/>
  </r>
  <r>
    <x v="15"/>
    <x v="3"/>
    <x v="5"/>
    <x v="1"/>
    <x v="4"/>
    <x v="0"/>
    <x v="15"/>
  </r>
  <r>
    <x v="16"/>
    <x v="4"/>
    <x v="1"/>
    <x v="2"/>
    <x v="8"/>
    <x v="1"/>
    <x v="16"/>
  </r>
  <r>
    <x v="17"/>
    <x v="5"/>
    <x v="8"/>
    <x v="3"/>
    <x v="5"/>
    <x v="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5:K22" firstHeaderRow="1" firstDataRow="1" firstDataCol="0"/>
  <pivotFields count="7">
    <pivotField showAll="0"/>
    <pivotField showAll="0"/>
    <pivotField showAll="0"/>
    <pivotField numFmtId="44" showAll="0"/>
    <pivotField numFmtId="44" showAll="0"/>
    <pivotField numFmtId="44"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5"/>
  <sheetViews>
    <sheetView workbookViewId="0">
      <selection activeCell="K5" sqref="K5"/>
    </sheetView>
  </sheetViews>
  <sheetFormatPr defaultRowHeight="15" x14ac:dyDescent="0.25"/>
  <cols>
    <col min="1" max="1" width="15.140625" bestFit="1" customWidth="1"/>
    <col min="3" max="3" width="9" bestFit="1" customWidth="1"/>
  </cols>
  <sheetData>
    <row r="4" spans="1:10" x14ac:dyDescent="0.25">
      <c r="A4" s="2"/>
      <c r="B4" s="2"/>
      <c r="C4" s="2"/>
      <c r="D4" s="2"/>
      <c r="E4" s="3" t="s">
        <v>8</v>
      </c>
      <c r="F4" s="2"/>
      <c r="G4" s="2"/>
      <c r="H4" s="2"/>
      <c r="I4" s="2"/>
      <c r="J4" s="2"/>
    </row>
    <row r="5" spans="1:10" ht="15.75" thickBot="1" x14ac:dyDescent="0.3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3</v>
      </c>
      <c r="G5" s="10" t="s">
        <v>5</v>
      </c>
      <c r="H5" s="10" t="s">
        <v>3</v>
      </c>
      <c r="I5" s="10" t="s">
        <v>6</v>
      </c>
      <c r="J5" s="10" t="s">
        <v>7</v>
      </c>
    </row>
    <row r="6" spans="1:10" x14ac:dyDescent="0.25">
      <c r="A6" s="11" t="s">
        <v>14</v>
      </c>
      <c r="B6" s="12">
        <v>101</v>
      </c>
      <c r="C6" s="12">
        <v>76</v>
      </c>
      <c r="D6" s="12" t="str">
        <f>IF(C6 &gt;= 80, "A", IF(C6 &gt;= 60, "B", IF(C6&gt;= 50, "C", "F")))</f>
        <v>B</v>
      </c>
      <c r="E6" s="12">
        <v>82</v>
      </c>
      <c r="F6" s="12" t="str">
        <f>IF(E6 &gt;= 80, "A", IF(E6 &gt;= 60, "B", IF(E6&gt;= 50, "C", "F")))</f>
        <v>A</v>
      </c>
      <c r="G6" s="12">
        <v>78</v>
      </c>
      <c r="H6" s="12" t="str">
        <f>IF(G6 &gt;= 80, "A", IF(G6 &gt;= 60, "B", IF(G6&gt;= 50, "C", "F")))</f>
        <v>B</v>
      </c>
      <c r="I6" s="12">
        <f>SUM(C6,E6,G6)</f>
        <v>236</v>
      </c>
      <c r="J6" s="13">
        <f>AVERAGE(C6,E6,G6)</f>
        <v>78.666666666666671</v>
      </c>
    </row>
    <row r="7" spans="1:10" x14ac:dyDescent="0.25">
      <c r="A7" s="4" t="s">
        <v>13</v>
      </c>
      <c r="B7" s="5">
        <v>102</v>
      </c>
      <c r="C7" s="5">
        <v>65</v>
      </c>
      <c r="D7" s="5" t="str">
        <f>IF(C7 &gt;= 80, "A", IF(C7 &gt;= 60, "B", IF(C7&gt;= 50, "C", "F")))</f>
        <v>B</v>
      </c>
      <c r="E7" s="5">
        <v>70</v>
      </c>
      <c r="F7" s="5" t="str">
        <f t="shared" ref="F7:F15" si="0">IF(E7 &gt;= 80, "A", IF(E7 &gt;= 60, "B", IF(E7&gt;= 50, "C", "F")))</f>
        <v>B</v>
      </c>
      <c r="G7" s="5">
        <v>85</v>
      </c>
      <c r="H7" s="5" t="str">
        <f t="shared" ref="H7:H15" si="1">IF(G7 &gt;= 80, "A", IF(G7 &gt;= 60, "B", IF(G7&gt;= 50, "C", "F")))</f>
        <v>A</v>
      </c>
      <c r="I7" s="5">
        <f t="shared" ref="I7:I15" si="2">SUM(C7,E7,G7)</f>
        <v>220</v>
      </c>
      <c r="J7" s="6">
        <f t="shared" ref="J7:J15" si="3">AVERAGE(C7,E7,G7)</f>
        <v>73.333333333333329</v>
      </c>
    </row>
    <row r="8" spans="1:10" x14ac:dyDescent="0.25">
      <c r="A8" s="4" t="s">
        <v>15</v>
      </c>
      <c r="B8" s="5">
        <v>103</v>
      </c>
      <c r="C8" s="5">
        <v>78</v>
      </c>
      <c r="D8" s="5" t="str">
        <f t="shared" ref="D8:D15" si="4">IF(C8 &gt;= 80, "A", IF(C8 &gt;= 60, "B", IF(C8&gt;= 50, "C", "F")))</f>
        <v>B</v>
      </c>
      <c r="E8" s="5">
        <v>98</v>
      </c>
      <c r="F8" s="5" t="str">
        <f t="shared" si="0"/>
        <v>A</v>
      </c>
      <c r="G8" s="5">
        <v>97</v>
      </c>
      <c r="H8" s="5" t="str">
        <f t="shared" si="1"/>
        <v>A</v>
      </c>
      <c r="I8" s="5">
        <f t="shared" si="2"/>
        <v>273</v>
      </c>
      <c r="J8" s="6">
        <f t="shared" si="3"/>
        <v>91</v>
      </c>
    </row>
    <row r="9" spans="1:10" x14ac:dyDescent="0.25">
      <c r="A9" s="4" t="s">
        <v>10</v>
      </c>
      <c r="B9" s="5">
        <v>104</v>
      </c>
      <c r="C9" s="5">
        <v>87</v>
      </c>
      <c r="D9" s="5" t="str">
        <f t="shared" si="4"/>
        <v>A</v>
      </c>
      <c r="E9" s="5">
        <v>87</v>
      </c>
      <c r="F9" s="5" t="str">
        <f t="shared" si="0"/>
        <v>A</v>
      </c>
      <c r="G9" s="5">
        <v>56</v>
      </c>
      <c r="H9" s="5" t="str">
        <f t="shared" si="1"/>
        <v>C</v>
      </c>
      <c r="I9" s="5">
        <f t="shared" si="2"/>
        <v>230</v>
      </c>
      <c r="J9" s="6">
        <f t="shared" si="3"/>
        <v>76.666666666666671</v>
      </c>
    </row>
    <row r="10" spans="1:10" x14ac:dyDescent="0.25">
      <c r="A10" s="4" t="s">
        <v>16</v>
      </c>
      <c r="B10" s="5">
        <v>105</v>
      </c>
      <c r="C10" s="5">
        <v>68</v>
      </c>
      <c r="D10" s="5" t="str">
        <f t="shared" si="4"/>
        <v>B</v>
      </c>
      <c r="E10" s="5">
        <v>76</v>
      </c>
      <c r="F10" s="5" t="str">
        <f t="shared" si="0"/>
        <v>B</v>
      </c>
      <c r="G10" s="5">
        <v>65</v>
      </c>
      <c r="H10" s="5" t="str">
        <f t="shared" si="1"/>
        <v>B</v>
      </c>
      <c r="I10" s="5">
        <f t="shared" si="2"/>
        <v>209</v>
      </c>
      <c r="J10" s="6">
        <f t="shared" si="3"/>
        <v>69.666666666666671</v>
      </c>
    </row>
    <row r="11" spans="1:10" x14ac:dyDescent="0.25">
      <c r="A11" s="4" t="s">
        <v>17</v>
      </c>
      <c r="B11" s="5">
        <v>106</v>
      </c>
      <c r="C11" s="5">
        <v>97</v>
      </c>
      <c r="D11" s="5" t="str">
        <f t="shared" si="4"/>
        <v>A</v>
      </c>
      <c r="E11" s="5">
        <v>85</v>
      </c>
      <c r="F11" s="5" t="str">
        <f t="shared" si="0"/>
        <v>A</v>
      </c>
      <c r="G11" s="5">
        <v>75</v>
      </c>
      <c r="H11" s="5" t="str">
        <f t="shared" si="1"/>
        <v>B</v>
      </c>
      <c r="I11" s="5">
        <f t="shared" si="2"/>
        <v>257</v>
      </c>
      <c r="J11" s="6">
        <f t="shared" si="3"/>
        <v>85.666666666666671</v>
      </c>
    </row>
    <row r="12" spans="1:10" x14ac:dyDescent="0.25">
      <c r="A12" s="4" t="s">
        <v>18</v>
      </c>
      <c r="B12" s="5">
        <v>107</v>
      </c>
      <c r="C12" s="5">
        <v>89</v>
      </c>
      <c r="D12" s="5" t="str">
        <f t="shared" si="4"/>
        <v>A</v>
      </c>
      <c r="E12" s="5">
        <v>79</v>
      </c>
      <c r="F12" s="5" t="str">
        <f t="shared" si="0"/>
        <v>B</v>
      </c>
      <c r="G12" s="5">
        <v>80</v>
      </c>
      <c r="H12" s="5" t="str">
        <f t="shared" si="1"/>
        <v>A</v>
      </c>
      <c r="I12" s="5">
        <f t="shared" si="2"/>
        <v>248</v>
      </c>
      <c r="J12" s="6">
        <f t="shared" si="3"/>
        <v>82.666666666666671</v>
      </c>
    </row>
    <row r="13" spans="1:10" x14ac:dyDescent="0.25">
      <c r="A13" s="4" t="s">
        <v>12</v>
      </c>
      <c r="B13" s="5">
        <v>108</v>
      </c>
      <c r="C13" s="5">
        <v>56</v>
      </c>
      <c r="D13" s="5" t="str">
        <f t="shared" si="4"/>
        <v>C</v>
      </c>
      <c r="E13" s="5">
        <v>55</v>
      </c>
      <c r="F13" s="5" t="str">
        <f t="shared" si="0"/>
        <v>C</v>
      </c>
      <c r="G13" s="5">
        <v>63</v>
      </c>
      <c r="H13" s="5" t="str">
        <f t="shared" si="1"/>
        <v>B</v>
      </c>
      <c r="I13" s="5">
        <f t="shared" si="2"/>
        <v>174</v>
      </c>
      <c r="J13" s="6">
        <f t="shared" si="3"/>
        <v>58</v>
      </c>
    </row>
    <row r="14" spans="1:10" x14ac:dyDescent="0.25">
      <c r="A14" s="4" t="s">
        <v>9</v>
      </c>
      <c r="B14" s="5">
        <v>109</v>
      </c>
      <c r="C14" s="5">
        <v>59</v>
      </c>
      <c r="D14" s="5" t="str">
        <f t="shared" si="4"/>
        <v>C</v>
      </c>
      <c r="E14" s="5">
        <v>70</v>
      </c>
      <c r="F14" s="5" t="str">
        <f t="shared" si="0"/>
        <v>B</v>
      </c>
      <c r="G14" s="5">
        <v>85</v>
      </c>
      <c r="H14" s="5" t="str">
        <f t="shared" si="1"/>
        <v>A</v>
      </c>
      <c r="I14" s="5">
        <f t="shared" si="2"/>
        <v>214</v>
      </c>
      <c r="J14" s="6">
        <f t="shared" si="3"/>
        <v>71.333333333333329</v>
      </c>
    </row>
    <row r="15" spans="1:10" ht="15.75" thickBot="1" x14ac:dyDescent="0.3">
      <c r="A15" s="7" t="s">
        <v>19</v>
      </c>
      <c r="B15" s="8">
        <v>110</v>
      </c>
      <c r="C15" s="8">
        <v>60</v>
      </c>
      <c r="D15" s="8" t="str">
        <f t="shared" si="4"/>
        <v>B</v>
      </c>
      <c r="E15" s="8">
        <v>90</v>
      </c>
      <c r="F15" s="8" t="str">
        <f t="shared" si="0"/>
        <v>A</v>
      </c>
      <c r="G15" s="8">
        <v>50</v>
      </c>
      <c r="H15" s="8" t="str">
        <f t="shared" si="1"/>
        <v>C</v>
      </c>
      <c r="I15" s="8">
        <f t="shared" si="2"/>
        <v>200</v>
      </c>
      <c r="J15" s="9">
        <f t="shared" si="3"/>
        <v>66.666666666666671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11"/>
  <sheetViews>
    <sheetView topLeftCell="A4" workbookViewId="0">
      <selection activeCell="F7" sqref="F7"/>
    </sheetView>
  </sheetViews>
  <sheetFormatPr defaultRowHeight="15" x14ac:dyDescent="0.25"/>
  <cols>
    <col min="1" max="1" width="16.5703125" bestFit="1" customWidth="1"/>
    <col min="2" max="2" width="15" bestFit="1" customWidth="1"/>
    <col min="3" max="3" width="14.5703125" bestFit="1" customWidth="1"/>
    <col min="4" max="4" width="10.7109375" bestFit="1" customWidth="1"/>
    <col min="5" max="5" width="10.140625" bestFit="1" customWidth="1"/>
  </cols>
  <sheetData>
    <row r="7" spans="1:5" ht="15.75" thickBot="1" x14ac:dyDescent="0.3">
      <c r="A7" s="1"/>
      <c r="B7" s="1"/>
      <c r="C7" s="1" t="s">
        <v>26</v>
      </c>
      <c r="D7" s="1"/>
      <c r="E7" s="1"/>
    </row>
    <row r="8" spans="1:5" x14ac:dyDescent="0.25">
      <c r="A8" s="14" t="s">
        <v>20</v>
      </c>
      <c r="B8" s="15" t="s">
        <v>21</v>
      </c>
      <c r="C8" s="15" t="s">
        <v>22</v>
      </c>
      <c r="D8" s="15" t="s">
        <v>23</v>
      </c>
      <c r="E8" s="16" t="s">
        <v>24</v>
      </c>
    </row>
    <row r="9" spans="1:5" x14ac:dyDescent="0.25">
      <c r="A9" s="4" t="s">
        <v>25</v>
      </c>
      <c r="B9" s="5" t="str">
        <f>TRIM(PROPER(A9))</f>
        <v>Ahmed Khan</v>
      </c>
      <c r="C9" s="5">
        <v>32855788559</v>
      </c>
      <c r="D9" s="5" t="s">
        <v>29</v>
      </c>
      <c r="E9" s="6" t="s">
        <v>31</v>
      </c>
    </row>
    <row r="10" spans="1:5" x14ac:dyDescent="0.25">
      <c r="A10" s="4" t="s">
        <v>27</v>
      </c>
      <c r="B10" s="5" t="str">
        <f t="shared" ref="B10:B11" si="0">TRIM(PROPER(A10))</f>
        <v>Shahid Anwar</v>
      </c>
      <c r="C10" s="5">
        <v>34554664459</v>
      </c>
      <c r="D10" s="17">
        <v>39021</v>
      </c>
      <c r="E10" s="6" t="s">
        <v>32</v>
      </c>
    </row>
    <row r="11" spans="1:5" ht="15.75" thickBot="1" x14ac:dyDescent="0.3">
      <c r="A11" s="7" t="s">
        <v>28</v>
      </c>
      <c r="B11" s="8" t="str">
        <f t="shared" si="0"/>
        <v>Khuzema Afridi</v>
      </c>
      <c r="C11" s="8">
        <v>64556187891</v>
      </c>
      <c r="D11" s="8" t="s">
        <v>33</v>
      </c>
      <c r="E11" s="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F23"/>
  <sheetViews>
    <sheetView tabSelected="1" workbookViewId="0">
      <selection activeCell="H5" sqref="H5"/>
    </sheetView>
  </sheetViews>
  <sheetFormatPr defaultRowHeight="15" x14ac:dyDescent="0.25"/>
  <cols>
    <col min="1" max="1" width="20" bestFit="1" customWidth="1"/>
    <col min="2" max="2" width="11.85546875" customWidth="1"/>
    <col min="3" max="3" width="12.85546875" customWidth="1"/>
    <col min="4" max="4" width="18" bestFit="1" customWidth="1"/>
    <col min="5" max="7" width="15.28515625" bestFit="1" customWidth="1"/>
    <col min="11" max="11" width="18.140625" customWidth="1"/>
    <col min="12" max="12" width="16.28515625" customWidth="1"/>
    <col min="13" max="13" width="21.140625" customWidth="1"/>
    <col min="14" max="14" width="15.28515625" customWidth="1"/>
    <col min="15" max="16" width="21.140625" customWidth="1"/>
    <col min="17" max="17" width="15.28515625" customWidth="1"/>
    <col min="18" max="18" width="21.140625" customWidth="1"/>
    <col min="19" max="19" width="15.28515625" customWidth="1"/>
    <col min="20" max="21" width="21.140625" customWidth="1"/>
    <col min="22" max="22" width="15.28515625" customWidth="1"/>
    <col min="23" max="23" width="21.140625" customWidth="1"/>
    <col min="24" max="24" width="15.28515625" bestFit="1" customWidth="1"/>
    <col min="25" max="25" width="21.140625" customWidth="1"/>
    <col min="26" max="26" width="15.28515625" customWidth="1"/>
    <col min="27" max="28" width="21.140625" customWidth="1"/>
    <col min="29" max="29" width="15.28515625" customWidth="1"/>
    <col min="30" max="31" width="21.140625" customWidth="1"/>
    <col min="32" max="32" width="15.28515625" customWidth="1"/>
    <col min="33" max="33" width="21.140625" bestFit="1" customWidth="1"/>
    <col min="34" max="34" width="15.28515625" customWidth="1"/>
    <col min="35" max="35" width="21.140625" customWidth="1"/>
    <col min="36" max="36" width="21.140625" bestFit="1" customWidth="1"/>
    <col min="37" max="37" width="15.28515625" customWidth="1"/>
    <col min="38" max="39" width="21.140625" customWidth="1"/>
    <col min="40" max="40" width="15.28515625" customWidth="1"/>
    <col min="41" max="41" width="21.140625" bestFit="1" customWidth="1"/>
    <col min="42" max="42" width="15.28515625" customWidth="1"/>
    <col min="43" max="44" width="21.140625" customWidth="1"/>
    <col min="45" max="45" width="15.28515625" customWidth="1"/>
    <col min="46" max="46" width="21.140625" customWidth="1"/>
    <col min="47" max="47" width="15.28515625" customWidth="1"/>
    <col min="48" max="49" width="21.140625" customWidth="1"/>
    <col min="50" max="50" width="15.28515625" customWidth="1"/>
    <col min="51" max="51" width="21.140625" customWidth="1"/>
    <col min="52" max="52" width="15.28515625" customWidth="1"/>
    <col min="53" max="53" width="21.140625" bestFit="1" customWidth="1"/>
    <col min="54" max="54" width="21.140625" customWidth="1"/>
    <col min="55" max="55" width="15.28515625" customWidth="1"/>
    <col min="56" max="56" width="21.140625" customWidth="1"/>
    <col min="57" max="57" width="21.140625" bestFit="1" customWidth="1"/>
    <col min="58" max="58" width="12.7109375" customWidth="1"/>
    <col min="59" max="59" width="21.140625" customWidth="1"/>
    <col min="60" max="60" width="15.28515625" bestFit="1" customWidth="1"/>
    <col min="61" max="61" width="21.140625" bestFit="1" customWidth="1"/>
    <col min="62" max="63" width="21.140625" customWidth="1"/>
    <col min="64" max="64" width="15.28515625" customWidth="1"/>
    <col min="65" max="65" width="21.140625" bestFit="1" customWidth="1"/>
    <col min="66" max="67" width="21.140625" customWidth="1"/>
    <col min="68" max="68" width="15.28515625" customWidth="1"/>
    <col min="69" max="69" width="21.140625" bestFit="1" customWidth="1"/>
    <col min="70" max="71" width="21.140625" customWidth="1"/>
    <col min="72" max="72" width="15.28515625" bestFit="1" customWidth="1"/>
    <col min="73" max="73" width="21.140625" bestFit="1" customWidth="1"/>
    <col min="74" max="75" width="21.140625" customWidth="1"/>
    <col min="76" max="76" width="15.28515625" bestFit="1" customWidth="1"/>
    <col min="77" max="77" width="21.140625" bestFit="1" customWidth="1"/>
    <col min="78" max="79" width="21.140625" customWidth="1"/>
    <col min="80" max="80" width="15.28515625" bestFit="1" customWidth="1"/>
    <col min="81" max="81" width="21.140625" bestFit="1" customWidth="1"/>
    <col min="82" max="83" width="21.140625" customWidth="1"/>
    <col min="84" max="84" width="12.7109375" customWidth="1"/>
    <col min="85" max="85" width="17.7109375" bestFit="1" customWidth="1"/>
  </cols>
  <sheetData>
    <row r="4" spans="1:58" ht="15.75" thickBot="1" x14ac:dyDescent="0.3">
      <c r="A4" s="1"/>
      <c r="B4" s="1"/>
      <c r="C4" s="1"/>
      <c r="D4" s="1" t="s">
        <v>41</v>
      </c>
      <c r="E4" s="1"/>
      <c r="F4" s="1"/>
      <c r="G4" s="1"/>
    </row>
    <row r="5" spans="1:58" x14ac:dyDescent="0.25">
      <c r="A5" s="14" t="s">
        <v>34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6" t="s">
        <v>40</v>
      </c>
      <c r="I5" s="26"/>
      <c r="J5" s="27"/>
      <c r="K5" s="28"/>
    </row>
    <row r="6" spans="1:58" x14ac:dyDescent="0.25">
      <c r="A6" s="4" t="s">
        <v>14</v>
      </c>
      <c r="B6" s="5" t="s">
        <v>42</v>
      </c>
      <c r="C6" s="5" t="s">
        <v>55</v>
      </c>
      <c r="D6" s="20">
        <v>10012000</v>
      </c>
      <c r="E6" s="20">
        <v>10067000</v>
      </c>
      <c r="F6" s="20">
        <v>10013000</v>
      </c>
      <c r="G6" s="21">
        <f>SUM(D6,E6,F6)</f>
        <v>30092000</v>
      </c>
      <c r="I6" s="29"/>
      <c r="J6" s="30"/>
      <c r="K6" s="31"/>
      <c r="L6" s="25"/>
      <c r="P6" s="25"/>
      <c r="Q6" s="25"/>
      <c r="U6" s="25"/>
      <c r="V6" s="25"/>
      <c r="AB6" s="25"/>
      <c r="AC6" s="25"/>
      <c r="AE6" s="25"/>
      <c r="AF6" s="25"/>
      <c r="AJ6" s="25"/>
      <c r="AK6" s="25"/>
      <c r="AM6" s="25"/>
      <c r="AN6" s="25"/>
      <c r="AR6" s="25"/>
      <c r="AS6" s="25"/>
      <c r="AW6" s="25"/>
      <c r="AX6" s="25"/>
      <c r="BB6" s="25"/>
      <c r="BC6" s="25"/>
      <c r="BE6" s="25"/>
      <c r="BF6" s="25"/>
    </row>
    <row r="7" spans="1:58" x14ac:dyDescent="0.25">
      <c r="A7" s="4" t="s">
        <v>13</v>
      </c>
      <c r="B7" s="5" t="s">
        <v>43</v>
      </c>
      <c r="C7" s="5" t="s">
        <v>56</v>
      </c>
      <c r="D7" s="20">
        <v>10013000</v>
      </c>
      <c r="E7" s="20">
        <v>10013000</v>
      </c>
      <c r="F7" s="20">
        <v>10345000</v>
      </c>
      <c r="G7" s="21">
        <f t="shared" ref="G7:G23" si="0">SUM(D7,E7,F7)</f>
        <v>30371000</v>
      </c>
      <c r="I7" s="29"/>
      <c r="J7" s="30"/>
      <c r="K7" s="31"/>
      <c r="L7" s="25"/>
      <c r="M7" s="25"/>
      <c r="N7" s="25"/>
      <c r="O7" s="25"/>
      <c r="Q7" s="25"/>
      <c r="R7" s="25"/>
      <c r="S7" s="25"/>
      <c r="T7" s="25"/>
      <c r="V7" s="25"/>
      <c r="W7" s="25"/>
      <c r="X7" s="25"/>
      <c r="Y7" s="25"/>
      <c r="Z7" s="25"/>
      <c r="AA7" s="25"/>
      <c r="AC7" s="25"/>
      <c r="AD7" s="25"/>
      <c r="AF7" s="25"/>
      <c r="AG7" s="25"/>
      <c r="AH7" s="25"/>
      <c r="AI7" s="25"/>
      <c r="AK7" s="25"/>
      <c r="AL7" s="25"/>
      <c r="AN7" s="25"/>
      <c r="AO7" s="25"/>
      <c r="AP7" s="25"/>
      <c r="AQ7" s="25"/>
      <c r="AS7" s="25"/>
      <c r="AT7" s="25"/>
      <c r="AU7" s="25"/>
      <c r="AV7" s="25"/>
      <c r="AX7" s="25"/>
      <c r="AY7" s="25"/>
      <c r="AZ7" s="25"/>
      <c r="BA7" s="25"/>
      <c r="BC7" s="25"/>
      <c r="BD7" s="25"/>
    </row>
    <row r="8" spans="1:58" x14ac:dyDescent="0.25">
      <c r="A8" s="4" t="s">
        <v>15</v>
      </c>
      <c r="B8" s="5" t="s">
        <v>54</v>
      </c>
      <c r="C8" s="5" t="s">
        <v>57</v>
      </c>
      <c r="D8" s="20">
        <v>10345000</v>
      </c>
      <c r="E8" s="20">
        <v>10012000</v>
      </c>
      <c r="F8" s="20">
        <v>10034000</v>
      </c>
      <c r="G8" s="21">
        <f t="shared" si="0"/>
        <v>30391000</v>
      </c>
      <c r="I8" s="29"/>
      <c r="J8" s="30"/>
      <c r="K8" s="31"/>
      <c r="L8" s="25"/>
      <c r="N8" s="25"/>
      <c r="Q8" s="25"/>
      <c r="S8" s="25"/>
      <c r="V8" s="25"/>
      <c r="X8" s="25"/>
      <c r="Z8" s="25"/>
      <c r="AC8" s="25"/>
      <c r="AF8" s="25"/>
      <c r="AH8" s="25"/>
      <c r="AK8" s="25"/>
      <c r="AN8" s="25"/>
      <c r="AP8" s="25"/>
      <c r="AS8" s="25"/>
      <c r="AU8" s="25"/>
      <c r="AX8" s="25"/>
      <c r="AZ8" s="25"/>
      <c r="BC8" s="25"/>
    </row>
    <row r="9" spans="1:58" x14ac:dyDescent="0.25">
      <c r="A9" s="4" t="s">
        <v>10</v>
      </c>
      <c r="B9" s="5" t="s">
        <v>44</v>
      </c>
      <c r="C9" s="5" t="s">
        <v>58</v>
      </c>
      <c r="D9" s="20">
        <v>10000450</v>
      </c>
      <c r="E9" s="20">
        <v>10013000</v>
      </c>
      <c r="F9" s="20">
        <v>10067000</v>
      </c>
      <c r="G9" s="21">
        <f t="shared" si="0"/>
        <v>30080450</v>
      </c>
      <c r="I9" s="29"/>
      <c r="J9" s="30"/>
      <c r="K9" s="31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x14ac:dyDescent="0.25">
      <c r="A10" s="4" t="s">
        <v>16</v>
      </c>
      <c r="B10" s="5" t="s">
        <v>46</v>
      </c>
      <c r="C10" s="5" t="s">
        <v>59</v>
      </c>
      <c r="D10" s="20">
        <v>10013400</v>
      </c>
      <c r="E10" s="20">
        <v>10345000</v>
      </c>
      <c r="F10" s="20">
        <v>10018700</v>
      </c>
      <c r="G10" s="21">
        <f t="shared" si="0"/>
        <v>30377100</v>
      </c>
      <c r="I10" s="29"/>
      <c r="J10" s="30"/>
      <c r="K10" s="31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x14ac:dyDescent="0.25">
      <c r="A11" s="4" t="s">
        <v>17</v>
      </c>
      <c r="B11" s="5" t="s">
        <v>45</v>
      </c>
      <c r="C11" s="5" t="s">
        <v>60</v>
      </c>
      <c r="D11" s="20">
        <v>10034000</v>
      </c>
      <c r="E11" s="20">
        <v>10000450</v>
      </c>
      <c r="F11" s="20">
        <v>10013340</v>
      </c>
      <c r="G11" s="21">
        <f t="shared" si="0"/>
        <v>30047790</v>
      </c>
      <c r="I11" s="29"/>
      <c r="J11" s="30"/>
      <c r="K11" s="31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x14ac:dyDescent="0.25">
      <c r="A12" s="4" t="s">
        <v>18</v>
      </c>
      <c r="B12" s="5" t="s">
        <v>42</v>
      </c>
      <c r="C12" s="5" t="s">
        <v>61</v>
      </c>
      <c r="D12" s="20">
        <v>10067000</v>
      </c>
      <c r="E12" s="20">
        <v>10345000</v>
      </c>
      <c r="F12" s="20">
        <v>10345000</v>
      </c>
      <c r="G12" s="21">
        <f t="shared" si="0"/>
        <v>30757000</v>
      </c>
      <c r="I12" s="29"/>
      <c r="J12" s="30"/>
      <c r="K12" s="31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x14ac:dyDescent="0.25">
      <c r="A13" s="4" t="s">
        <v>12</v>
      </c>
      <c r="B13" s="5" t="s">
        <v>43</v>
      </c>
      <c r="C13" s="5" t="s">
        <v>62</v>
      </c>
      <c r="D13" s="20">
        <v>10018700</v>
      </c>
      <c r="E13" s="20">
        <v>10000450</v>
      </c>
      <c r="F13" s="20">
        <v>10000450</v>
      </c>
      <c r="G13" s="21">
        <f t="shared" si="0"/>
        <v>30019600</v>
      </c>
      <c r="I13" s="29"/>
      <c r="J13" s="30"/>
      <c r="K13" s="31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x14ac:dyDescent="0.25">
      <c r="A14" s="4" t="s">
        <v>9</v>
      </c>
      <c r="B14" s="5" t="s">
        <v>54</v>
      </c>
      <c r="C14" s="5" t="s">
        <v>63</v>
      </c>
      <c r="D14" s="20">
        <v>10013340</v>
      </c>
      <c r="E14" s="20">
        <v>10013000</v>
      </c>
      <c r="F14" s="20">
        <v>10013400</v>
      </c>
      <c r="G14" s="21">
        <f t="shared" si="0"/>
        <v>30039740</v>
      </c>
      <c r="I14" s="29"/>
      <c r="J14" s="30"/>
      <c r="K14" s="31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x14ac:dyDescent="0.25">
      <c r="A15" s="4" t="s">
        <v>19</v>
      </c>
      <c r="B15" s="5" t="s">
        <v>44</v>
      </c>
      <c r="C15" s="5" t="s">
        <v>64</v>
      </c>
      <c r="D15" s="20">
        <v>14543000</v>
      </c>
      <c r="E15" s="20">
        <v>10345000</v>
      </c>
      <c r="F15" s="20">
        <v>10013400</v>
      </c>
      <c r="G15" s="21">
        <f t="shared" si="0"/>
        <v>34901400</v>
      </c>
      <c r="I15" s="29"/>
      <c r="J15" s="30"/>
      <c r="K15" s="31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x14ac:dyDescent="0.25">
      <c r="A16" s="18" t="s">
        <v>47</v>
      </c>
      <c r="B16" s="5" t="s">
        <v>46</v>
      </c>
      <c r="C16" s="5" t="s">
        <v>65</v>
      </c>
      <c r="D16" s="20">
        <v>10013400</v>
      </c>
      <c r="E16" s="20">
        <v>10034000</v>
      </c>
      <c r="F16" s="20">
        <v>10034000</v>
      </c>
      <c r="G16" s="21">
        <f t="shared" si="0"/>
        <v>30081400</v>
      </c>
      <c r="I16" s="29"/>
      <c r="J16" s="30"/>
      <c r="K16" s="31"/>
    </row>
    <row r="17" spans="1:11" x14ac:dyDescent="0.25">
      <c r="A17" s="18" t="s">
        <v>48</v>
      </c>
      <c r="B17" s="5" t="s">
        <v>45</v>
      </c>
      <c r="C17" s="5" t="s">
        <v>66</v>
      </c>
      <c r="D17" s="20">
        <v>10034000</v>
      </c>
      <c r="E17" s="20">
        <v>10067000</v>
      </c>
      <c r="F17" s="20">
        <v>10067000</v>
      </c>
      <c r="G17" s="21">
        <f t="shared" si="0"/>
        <v>30168000</v>
      </c>
      <c r="I17" s="29"/>
      <c r="J17" s="30"/>
      <c r="K17" s="31"/>
    </row>
    <row r="18" spans="1:11" x14ac:dyDescent="0.25">
      <c r="A18" s="18" t="s">
        <v>11</v>
      </c>
      <c r="B18" s="5" t="s">
        <v>42</v>
      </c>
      <c r="C18" s="5" t="s">
        <v>67</v>
      </c>
      <c r="D18" s="20">
        <v>10067000</v>
      </c>
      <c r="E18" s="20">
        <v>10018700</v>
      </c>
      <c r="F18" s="20">
        <v>10013000</v>
      </c>
      <c r="G18" s="21">
        <f t="shared" si="0"/>
        <v>30098700</v>
      </c>
      <c r="I18" s="29"/>
      <c r="J18" s="30"/>
      <c r="K18" s="31"/>
    </row>
    <row r="19" spans="1:11" x14ac:dyDescent="0.25">
      <c r="A19" s="18" t="s">
        <v>49</v>
      </c>
      <c r="B19" s="5" t="s">
        <v>43</v>
      </c>
      <c r="C19" s="5" t="s">
        <v>68</v>
      </c>
      <c r="D19" s="20">
        <v>10013000</v>
      </c>
      <c r="E19" s="20">
        <v>10013340</v>
      </c>
      <c r="F19" s="20">
        <v>10012000</v>
      </c>
      <c r="G19" s="21">
        <f t="shared" si="0"/>
        <v>30038340</v>
      </c>
      <c r="I19" s="29"/>
      <c r="J19" s="30"/>
      <c r="K19" s="31"/>
    </row>
    <row r="20" spans="1:11" x14ac:dyDescent="0.25">
      <c r="A20" s="18" t="s">
        <v>50</v>
      </c>
      <c r="B20" s="5" t="s">
        <v>54</v>
      </c>
      <c r="C20" s="5" t="s">
        <v>69</v>
      </c>
      <c r="D20" s="20">
        <v>10012000</v>
      </c>
      <c r="E20" s="20">
        <v>10345000</v>
      </c>
      <c r="F20" s="20">
        <v>10012000</v>
      </c>
      <c r="G20" s="21">
        <f t="shared" si="0"/>
        <v>30369000</v>
      </c>
      <c r="I20" s="29"/>
      <c r="J20" s="30"/>
      <c r="K20" s="31"/>
    </row>
    <row r="21" spans="1:11" x14ac:dyDescent="0.25">
      <c r="A21" s="18" t="s">
        <v>51</v>
      </c>
      <c r="B21" s="5" t="s">
        <v>44</v>
      </c>
      <c r="C21" s="5" t="s">
        <v>60</v>
      </c>
      <c r="D21" s="20">
        <v>10013000</v>
      </c>
      <c r="E21" s="20">
        <v>10000450</v>
      </c>
      <c r="F21" s="20">
        <v>10013000</v>
      </c>
      <c r="G21" s="21">
        <f t="shared" si="0"/>
        <v>30026450</v>
      </c>
      <c r="I21" s="29"/>
      <c r="J21" s="30"/>
      <c r="K21" s="31"/>
    </row>
    <row r="22" spans="1:11" x14ac:dyDescent="0.25">
      <c r="A22" s="18" t="s">
        <v>52</v>
      </c>
      <c r="B22" s="5" t="s">
        <v>46</v>
      </c>
      <c r="C22" s="5" t="s">
        <v>56</v>
      </c>
      <c r="D22" s="20">
        <v>10345000</v>
      </c>
      <c r="E22" s="20">
        <v>10013400</v>
      </c>
      <c r="F22" s="20">
        <v>10345000</v>
      </c>
      <c r="G22" s="21">
        <f t="shared" si="0"/>
        <v>30703400</v>
      </c>
      <c r="I22" s="32"/>
      <c r="J22" s="33"/>
      <c r="K22" s="34"/>
    </row>
    <row r="23" spans="1:11" ht="15.75" thickBot="1" x14ac:dyDescent="0.3">
      <c r="A23" s="19" t="s">
        <v>53</v>
      </c>
      <c r="B23" s="8" t="s">
        <v>45</v>
      </c>
      <c r="C23" s="8" t="s">
        <v>63</v>
      </c>
      <c r="D23" s="22">
        <v>10000450</v>
      </c>
      <c r="E23" s="22">
        <v>10034000</v>
      </c>
      <c r="F23" s="22">
        <v>10000450</v>
      </c>
      <c r="G23" s="23">
        <f t="shared" si="0"/>
        <v>30034900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0" sqref="H20:H2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Computer</dc:creator>
  <cp:lastModifiedBy>Noor Computer</cp:lastModifiedBy>
  <cp:lastPrinted>2026-09-25T09:40:10Z</cp:lastPrinted>
  <dcterms:created xsi:type="dcterms:W3CDTF">2026-09-25T08:33:29Z</dcterms:created>
  <dcterms:modified xsi:type="dcterms:W3CDTF">2026-09-27T09:22:58Z</dcterms:modified>
</cp:coreProperties>
</file>